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工作表1"/>
    <sheet r:id="rId2" sheetId="2" name="工作表2"/>
  </sheets>
  <definedNames>
    <definedName name="rho">工作表1!$B$4</definedName>
    <definedName name="T">工作表1!$E$2</definedName>
  </definedNames>
  <calcPr fullCalcOnLoad="1"/>
</workbook>
</file>

<file path=xl/sharedStrings.xml><?xml version="1.0" encoding="utf-8"?>
<sst xmlns="http://schemas.openxmlformats.org/spreadsheetml/2006/main" count="29" uniqueCount="21">
  <si>
    <t>順順</t>
  </si>
  <si>
    <t>v_85</t>
  </si>
  <si>
    <t>v_87</t>
  </si>
  <si>
    <t>高高</t>
  </si>
  <si>
    <t>高低</t>
  </si>
  <si>
    <t>順反</t>
  </si>
  <si>
    <t>X</t>
  </si>
  <si>
    <t>反反</t>
  </si>
  <si>
    <t>T</t>
  </si>
  <si>
    <t>refraction index</t>
  </si>
  <si>
    <t>transmission ratre</t>
  </si>
  <si>
    <t>mV</t>
  </si>
  <si>
    <t>cell還在</t>
  </si>
  <si>
    <t>cell拿掉</t>
  </si>
  <si>
    <t>B/C</t>
  </si>
  <si>
    <t>total decay</t>
  </si>
  <si>
    <t>SLOPE</t>
  </si>
  <si>
    <t>pm 0.3</t>
  </si>
  <si>
    <t>sigma_rho_t</t>
  </si>
  <si>
    <t>sigma</t>
  </si>
  <si>
    <t>m^2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</si>
</sst>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left"/>
    </xf>
    <xf xfId="0" numFmtId="164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4" applyNumberFormat="1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164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1"/>
  <sheetViews>
    <sheetView workbookViewId="0" tabSelected="1"/>
  </sheetViews>
  <sheetFormatPr defaultRowHeight="15" x14ac:dyDescent="0.25"/>
  <cols>
    <col min="1" max="1" style="12" width="19.290714285714284" customWidth="1" bestFit="1"/>
    <col min="2" max="2" style="12" width="12.147857142857141" customWidth="1" bestFit="1"/>
    <col min="3" max="3" style="12" width="11.005" customWidth="1" bestFit="1"/>
    <col min="4" max="4" style="12" width="11.005" customWidth="1" bestFit="1"/>
    <col min="5" max="5" style="17" width="13.290714285714287" customWidth="1" bestFit="1"/>
    <col min="6" max="6" style="10" width="13.576428571428572" customWidth="1" bestFit="1"/>
  </cols>
  <sheetData>
    <row x14ac:dyDescent="0.25" r="1" customHeight="1" ht="18.75">
      <c r="A1" s="14" t="s">
        <v>8</v>
      </c>
      <c r="B1" s="3"/>
      <c r="C1" s="3"/>
      <c r="D1" s="14" t="s">
        <v>9</v>
      </c>
      <c r="E1" s="15" t="s">
        <v>10</v>
      </c>
      <c r="F1" s="4"/>
    </row>
    <row x14ac:dyDescent="0.25" r="2" customHeight="1" ht="18.75">
      <c r="A2" s="9">
        <v>320</v>
      </c>
      <c r="B2" s="9">
        <f>75000000000000000</f>
      </c>
      <c r="C2" s="3"/>
      <c r="D2" s="5">
        <v>1.5</v>
      </c>
      <c r="E2" s="5">
        <f>4*D2/(1+D2)^2</f>
      </c>
      <c r="F2" s="4"/>
    </row>
    <row x14ac:dyDescent="0.25" r="3" customHeight="1" ht="18.75">
      <c r="A3" s="9">
        <v>330</v>
      </c>
      <c r="B3" s="9">
        <f>180000000000000000</f>
      </c>
      <c r="C3" s="3"/>
      <c r="D3" s="3"/>
      <c r="E3" s="16"/>
      <c r="F3" s="4"/>
    </row>
    <row x14ac:dyDescent="0.25" r="4" customHeight="1" ht="18.75">
      <c r="A4" s="5">
        <f>273.15+55</f>
      </c>
      <c r="B4" s="9">
        <f>FORECAST(A4,B2:B3,A2:A3)</f>
      </c>
      <c r="C4" s="3"/>
      <c r="D4" s="3"/>
      <c r="E4" s="16"/>
      <c r="F4" s="4"/>
    </row>
    <row x14ac:dyDescent="0.25" r="5" customHeight="1" ht="18.75">
      <c r="A5" s="3"/>
      <c r="B5" s="3"/>
      <c r="C5" s="3"/>
      <c r="D5" s="3"/>
      <c r="E5" s="16"/>
      <c r="F5" s="4"/>
    </row>
    <row x14ac:dyDescent="0.25" r="6" customHeight="1" ht="18.75">
      <c r="A6" s="14" t="s">
        <v>11</v>
      </c>
      <c r="B6" s="14" t="s">
        <v>12</v>
      </c>
      <c r="C6" s="14" t="s">
        <v>13</v>
      </c>
      <c r="D6" s="14" t="s">
        <v>14</v>
      </c>
      <c r="E6" s="16"/>
      <c r="F6" s="4"/>
    </row>
    <row x14ac:dyDescent="0.25" r="7" customHeight="1" ht="18.75">
      <c r="A7" s="3"/>
      <c r="B7" s="5">
        <v>12.745</v>
      </c>
      <c r="C7" s="5">
        <v>33.995</v>
      </c>
      <c r="D7" s="5">
        <f>B7/C7</f>
      </c>
      <c r="E7" s="16"/>
      <c r="F7" s="4"/>
    </row>
    <row x14ac:dyDescent="0.25" r="8" customHeight="1" ht="18.75">
      <c r="A8" s="3"/>
      <c r="B8" s="5">
        <v>27.125</v>
      </c>
      <c r="C8" s="5">
        <v>67.806</v>
      </c>
      <c r="D8" s="5">
        <f>B8/C8</f>
      </c>
      <c r="E8" s="16"/>
      <c r="F8" s="4"/>
    </row>
    <row x14ac:dyDescent="0.25" r="9" customHeight="1" ht="18.75">
      <c r="A9" s="3"/>
      <c r="B9" s="5">
        <v>34.139</v>
      </c>
      <c r="C9" s="5">
        <v>88.574</v>
      </c>
      <c r="D9" s="5">
        <f>B9/C9</f>
      </c>
      <c r="E9" s="16"/>
      <c r="F9" s="4"/>
    </row>
    <row x14ac:dyDescent="0.25" r="10" customHeight="1" ht="18.75">
      <c r="A10" s="3"/>
      <c r="B10" s="5">
        <v>63.477</v>
      </c>
      <c r="C10" s="5">
        <v>146.752</v>
      </c>
      <c r="D10" s="5">
        <f>B10/C10</f>
      </c>
      <c r="E10" s="16"/>
      <c r="F10" s="4"/>
    </row>
    <row x14ac:dyDescent="0.25" r="11" customHeight="1" ht="18.75">
      <c r="A11" s="3"/>
      <c r="B11" s="5">
        <f>76.765</f>
      </c>
      <c r="C11" s="5">
        <v>178.412</v>
      </c>
      <c r="D11" s="5">
        <f>B11/C11</f>
      </c>
      <c r="E11" s="16"/>
      <c r="F11" s="4"/>
    </row>
    <row x14ac:dyDescent="0.25" r="12" customHeight="1" ht="18.75">
      <c r="A12" s="3"/>
      <c r="B12" s="5">
        <v>115.108</v>
      </c>
      <c r="C12" s="5">
        <v>273.017</v>
      </c>
      <c r="D12" s="5">
        <f>B12/C12</f>
      </c>
      <c r="E12" s="16"/>
      <c r="F12" s="4"/>
    </row>
    <row x14ac:dyDescent="0.25" r="13" customHeight="1" ht="18.75">
      <c r="A13" s="3"/>
      <c r="B13" s="5">
        <v>173.567</v>
      </c>
      <c r="C13" s="5">
        <v>387.551</v>
      </c>
      <c r="D13" s="5">
        <f>B13/C13</f>
      </c>
      <c r="E13" s="16"/>
      <c r="F13" s="4"/>
    </row>
    <row x14ac:dyDescent="0.25" r="14" customHeight="1" ht="18.75">
      <c r="A14" s="3"/>
      <c r="B14" s="5">
        <v>242.742</v>
      </c>
      <c r="C14" s="5">
        <v>520.558</v>
      </c>
      <c r="D14" s="5">
        <f>B14/C14</f>
      </c>
      <c r="E14" s="16"/>
      <c r="F14" s="4"/>
    </row>
    <row x14ac:dyDescent="0.25" r="15" customHeight="1" ht="18.75">
      <c r="A15" s="3"/>
      <c r="B15" s="5">
        <v>291.385</v>
      </c>
      <c r="C15" s="5">
        <v>650.21</v>
      </c>
      <c r="D15" s="5">
        <f>B15/C15</f>
      </c>
      <c r="E15" s="16"/>
      <c r="F15" s="4"/>
    </row>
    <row x14ac:dyDescent="0.25" r="16" customHeight="1" ht="18.75">
      <c r="A16" s="3"/>
      <c r="B16" s="5">
        <v>323.69</v>
      </c>
      <c r="C16" s="5">
        <v>714.059</v>
      </c>
      <c r="D16" s="5">
        <f>B16/C16</f>
      </c>
      <c r="E16" s="16"/>
      <c r="F16" s="4"/>
    </row>
    <row x14ac:dyDescent="0.25" r="17" customHeight="1" ht="18.75">
      <c r="A17" s="3"/>
      <c r="B17" s="3"/>
      <c r="C17" s="3"/>
      <c r="D17" s="14" t="s">
        <v>15</v>
      </c>
      <c r="E17" s="5">
        <f>SLOPE(B7:B16,C7:C16)</f>
      </c>
      <c r="F17" s="4"/>
    </row>
    <row x14ac:dyDescent="0.25" r="18" customHeight="1" ht="18.75">
      <c r="A18" s="3"/>
      <c r="B18" s="3"/>
      <c r="C18" s="3"/>
      <c r="D18" s="14" t="s">
        <v>16</v>
      </c>
      <c r="E18" s="5">
        <f>E17/T^4</f>
      </c>
      <c r="F18" s="4"/>
    </row>
    <row x14ac:dyDescent="0.25" r="19" customHeight="1" ht="18.75">
      <c r="A19" s="3"/>
      <c r="B19" s="3"/>
      <c r="C19" s="14" t="s">
        <v>17</v>
      </c>
      <c r="D19" s="14" t="s">
        <v>18</v>
      </c>
      <c r="E19" s="5">
        <f>-LN(E18)</f>
      </c>
      <c r="F19" s="4"/>
    </row>
    <row x14ac:dyDescent="0.25" r="20" customHeight="1" ht="18.75">
      <c r="A20" s="3"/>
      <c r="B20" s="3"/>
      <c r="C20" s="3"/>
      <c r="D20" s="14" t="s">
        <v>19</v>
      </c>
      <c r="E20" s="5">
        <f>E19/rho/0.025</f>
      </c>
      <c r="F20" s="1" t="s">
        <v>20</v>
      </c>
    </row>
    <row x14ac:dyDescent="0.25" r="21" customHeight="1" ht="18.75">
      <c r="A21" s="3"/>
      <c r="B21" s="3"/>
      <c r="C21" s="3"/>
      <c r="D21" s="3"/>
      <c r="E21" s="6">
        <v>1.6e-16</v>
      </c>
      <c r="F2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4"/>
  <sheetViews>
    <sheetView workbookViewId="0"/>
  </sheetViews>
  <sheetFormatPr defaultRowHeight="15" x14ac:dyDescent="0.25"/>
  <cols>
    <col min="1" max="1" style="10" width="13.576428571428572" customWidth="1" bestFit="1"/>
    <col min="2" max="2" style="11" width="13.576428571428572" customWidth="1" bestFit="1"/>
    <col min="3" max="3" style="11" width="13.576428571428572" customWidth="1" bestFit="1"/>
    <col min="4" max="4" style="12" width="13.576428571428572" customWidth="1" bestFit="1"/>
    <col min="5" max="5" style="10" width="13.576428571428572" customWidth="1" bestFit="1"/>
    <col min="6" max="6" style="11" width="13.576428571428572" customWidth="1" bestFit="1"/>
    <col min="7" max="7" style="13" width="13.147857142857141" customWidth="1" bestFit="1"/>
  </cols>
  <sheetData>
    <row x14ac:dyDescent="0.25" r="1" customHeight="1" ht="18.75">
      <c r="A1" s="1" t="s">
        <v>0</v>
      </c>
      <c r="B1" s="2"/>
      <c r="C1" s="2"/>
      <c r="D1" s="3"/>
      <c r="E1" s="4"/>
      <c r="F1" s="5">
        <v>0.2</v>
      </c>
      <c r="G1" s="6">
        <f>(4/5)^(3/2)*0.0000004*PI()*125*F1/0.2406</f>
      </c>
    </row>
    <row x14ac:dyDescent="0.25" r="2" customHeight="1" ht="18.75">
      <c r="A2" s="4"/>
      <c r="B2" s="7" t="s">
        <v>1</v>
      </c>
      <c r="C2" s="7" t="s">
        <v>2</v>
      </c>
      <c r="D2" s="3"/>
      <c r="E2" s="4"/>
      <c r="F2" s="2"/>
      <c r="G2" s="8"/>
    </row>
    <row x14ac:dyDescent="0.25" r="3" customHeight="1" ht="18.75">
      <c r="A3" s="1" t="s">
        <v>3</v>
      </c>
      <c r="B3" s="9">
        <v>765</v>
      </c>
      <c r="C3" s="9">
        <v>1152</v>
      </c>
      <c r="D3" s="5">
        <f>B3/C3</f>
      </c>
      <c r="E3" s="4"/>
      <c r="F3" s="9">
        <f>(C3+C8)/2*1000</f>
      </c>
      <c r="G3" s="6">
        <f>F3*1.054E-34/9.27E-24/$G$1*2*PI()</f>
      </c>
    </row>
    <row x14ac:dyDescent="0.25" r="4" customHeight="1" ht="18.75">
      <c r="A4" s="1" t="s">
        <v>4</v>
      </c>
      <c r="B4" s="9">
        <v>636</v>
      </c>
      <c r="C4" s="9">
        <v>951</v>
      </c>
      <c r="D4" s="5">
        <f>B4/C4</f>
      </c>
      <c r="E4" s="4"/>
      <c r="F4" s="9">
        <f>(C4+C9)/2*1000</f>
      </c>
      <c r="G4" s="6">
        <f>F4*1.054E-34/9.27E-24/$G$1*2*PI()</f>
      </c>
    </row>
    <row x14ac:dyDescent="0.25" r="5" customHeight="1" ht="18.75">
      <c r="A5" s="4"/>
      <c r="B5" s="2"/>
      <c r="C5" s="2"/>
      <c r="D5" s="3"/>
      <c r="E5" s="4"/>
      <c r="F5" s="2"/>
      <c r="G5" s="8"/>
    </row>
    <row x14ac:dyDescent="0.25" r="6" customHeight="1" ht="18.75">
      <c r="A6" s="1" t="s">
        <v>5</v>
      </c>
      <c r="B6" s="2"/>
      <c r="C6" s="2"/>
      <c r="D6" s="3"/>
      <c r="E6" s="4"/>
      <c r="F6" s="2"/>
      <c r="G6" s="8"/>
    </row>
    <row x14ac:dyDescent="0.25" r="7" customHeight="1" ht="18.75">
      <c r="A7" s="4"/>
      <c r="B7" s="7" t="s">
        <v>1</v>
      </c>
      <c r="C7" s="7" t="s">
        <v>2</v>
      </c>
      <c r="D7" s="3"/>
      <c r="E7" s="4"/>
      <c r="F7" s="2"/>
      <c r="G7" s="8"/>
    </row>
    <row x14ac:dyDescent="0.25" r="8" customHeight="1" ht="18.75">
      <c r="A8" s="1" t="s">
        <v>3</v>
      </c>
      <c r="B8" s="9">
        <v>237</v>
      </c>
      <c r="C8" s="9">
        <v>360</v>
      </c>
      <c r="D8" s="5">
        <f>B8/C8</f>
      </c>
      <c r="E8" s="4"/>
      <c r="F8" s="2"/>
      <c r="G8" s="8"/>
    </row>
    <row x14ac:dyDescent="0.25" r="9" customHeight="1" ht="18.75">
      <c r="A9" s="1" t="s">
        <v>4</v>
      </c>
      <c r="B9" s="7" t="s">
        <v>6</v>
      </c>
      <c r="C9" s="9">
        <v>478</v>
      </c>
      <c r="D9" s="3"/>
      <c r="E9" s="4"/>
      <c r="F9" s="2"/>
      <c r="G9" s="8"/>
    </row>
    <row x14ac:dyDescent="0.25" r="10" customHeight="1" ht="18.75">
      <c r="A10" s="4"/>
      <c r="B10" s="2"/>
      <c r="C10" s="2"/>
      <c r="D10" s="3"/>
      <c r="E10" s="4"/>
      <c r="F10" s="2"/>
      <c r="G10" s="8"/>
    </row>
    <row x14ac:dyDescent="0.25" r="11" customHeight="1" ht="18.75">
      <c r="A11" s="1" t="s">
        <v>7</v>
      </c>
      <c r="B11" s="2"/>
      <c r="C11" s="2"/>
      <c r="D11" s="3"/>
      <c r="E11" s="4"/>
      <c r="F11" s="2"/>
      <c r="G11" s="8"/>
    </row>
    <row x14ac:dyDescent="0.25" r="12" customHeight="1" ht="18.75">
      <c r="A12" s="4"/>
      <c r="B12" s="7" t="s">
        <v>1</v>
      </c>
      <c r="C12" s="7" t="s">
        <v>2</v>
      </c>
      <c r="D12" s="3"/>
      <c r="E12" s="4"/>
      <c r="F12" s="2"/>
      <c r="G12" s="8"/>
    </row>
    <row x14ac:dyDescent="0.25" r="13" customHeight="1" ht="18.75">
      <c r="A13" s="1" t="s">
        <v>3</v>
      </c>
      <c r="B13" s="9">
        <v>405</v>
      </c>
      <c r="C13" s="9">
        <v>604</v>
      </c>
      <c r="D13" s="5">
        <f>B13/C13</f>
      </c>
      <c r="E13" s="4"/>
      <c r="F13" s="2"/>
      <c r="G13" s="8"/>
    </row>
    <row x14ac:dyDescent="0.25" r="14" customHeight="1" ht="18.75">
      <c r="A14" s="1" t="s">
        <v>4</v>
      </c>
      <c r="B14" s="2"/>
      <c r="C14" s="2"/>
      <c r="D14" s="3"/>
      <c r="E14" s="4"/>
      <c r="F14" s="2"/>
      <c r="G1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工作表1</vt:lpstr>
      <vt:lpstr>工作表2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2024-04-01T17:05:39.987Z</dcterms:created>
  <dcterms:modified xsi:type="dcterms:W3CDTF">2024-04-01T17:05:39.987Z</dcterms:modified>
</cp:coreProperties>
</file>